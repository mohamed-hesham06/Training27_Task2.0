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e021b70c046746/Desktop/Lycans/Edara 27/training/wing 1.0/"/>
    </mc:Choice>
  </mc:AlternateContent>
  <xr:revisionPtr revIDLastSave="0" documentId="8_{985899F1-6DEA-42EB-A393-47F586E03D39}" xr6:coauthVersionLast="47" xr6:coauthVersionMax="47" xr10:uidLastSave="{00000000-0000-0000-0000-000000000000}"/>
  <bookViews>
    <workbookView xWindow="-110" yWindow="-110" windowWidth="25820" windowHeight="16220" xr2:uid="{A50949BA-58C4-4095-AE0B-1ED1C74D86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 s="1"/>
  <c r="F9" i="1"/>
  <c r="F10" i="1" s="1"/>
  <c r="E9" i="1"/>
  <c r="E10" i="1" s="1"/>
  <c r="D9" i="1"/>
  <c r="D10" i="1" s="1"/>
  <c r="C9" i="1"/>
  <c r="C10" i="1" s="1"/>
  <c r="B9" i="1"/>
  <c r="B10" i="1" s="1"/>
</calcChain>
</file>

<file path=xl/sharedStrings.xml><?xml version="1.0" encoding="utf-8"?>
<sst xmlns="http://schemas.openxmlformats.org/spreadsheetml/2006/main" count="39" uniqueCount="23">
  <si>
    <t>Criterions</t>
  </si>
  <si>
    <t>Generating Weighing Factors</t>
  </si>
  <si>
    <t>Cl for AOA 0 (Closest to Cruise Is Best)</t>
  </si>
  <si>
    <t>Cl max (Highest Is Best)</t>
  </si>
  <si>
    <t>AOA for Cl max (Highest Is Best)</t>
  </si>
  <si>
    <t>Cd min (Lowest Is Best)</t>
  </si>
  <si>
    <t>Cm at AOA 0 (Closest to 0 Is Best)</t>
  </si>
  <si>
    <t>Gentle/ Sharp Stall Variation</t>
  </si>
  <si>
    <t>A</t>
  </si>
  <si>
    <t>B</t>
  </si>
  <si>
    <t>C</t>
  </si>
  <si>
    <t>E</t>
  </si>
  <si>
    <t>F</t>
  </si>
  <si>
    <t>D</t>
  </si>
  <si>
    <t>Count</t>
  </si>
  <si>
    <t>% Total</t>
  </si>
  <si>
    <t>Airfoil Selection Tradeoff Matrix</t>
  </si>
  <si>
    <t>Parameters</t>
  </si>
  <si>
    <t>WEIGHT</t>
  </si>
  <si>
    <t>SD7062 (14%)</t>
  </si>
  <si>
    <t>GOE 553</t>
  </si>
  <si>
    <t>FX 63-137</t>
  </si>
  <si>
    <t>RE for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</si>
</sst>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5" xfId="0" applyFont="1" applyFill="1" applyBorder="1"/>
    <xf numFmtId="0" fontId="1" fillId="2" borderId="6" xfId="0" applyFont="1" applyFill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3" borderId="5" xfId="0" applyFont="1" applyFill="1" applyBorder="1"/>
    <xf numFmtId="0" fontId="2" fillId="0" borderId="6" xfId="0" applyFont="1" applyBorder="1" applyAlignment="1">
      <alignment horizontal="center"/>
    </xf>
    <xf numFmtId="0" fontId="3" fillId="0" borderId="8" xfId="0" applyFont="1" applyBorder="1"/>
    <xf numFmtId="0" fontId="3" fillId="4" borderId="9" xfId="0" applyFont="1" applyFill="1" applyBorder="1"/>
    <xf numFmtId="10" fontId="3" fillId="4" borderId="10" xfId="0" applyNumberFormat="1" applyFont="1" applyFill="1" applyBorder="1"/>
    <xf numFmtId="0" fontId="1" fillId="2" borderId="8" xfId="0" applyFont="1" applyFill="1" applyBorder="1"/>
    <xf numFmtId="0" fontId="4" fillId="0" borderId="0" xfId="0" applyFont="1"/>
    <xf numFmtId="0" fontId="5" fillId="3" borderId="5" xfId="0" applyFont="1" applyFill="1" applyBorder="1"/>
    <xf numFmtId="3" fontId="5" fillId="0" borderId="5" xfId="0" applyNumberFormat="1" applyFont="1" applyBorder="1"/>
    <xf numFmtId="0" fontId="6" fillId="0" borderId="6" xfId="0" applyFont="1" applyBorder="1"/>
    <xf numFmtId="10" fontId="7" fillId="0" borderId="5" xfId="0" applyNumberFormat="1" applyFont="1" applyBorder="1"/>
    <xf numFmtId="10" fontId="1" fillId="4" borderId="10" xfId="0" applyNumberFormat="1" applyFont="1" applyFill="1" applyBorder="1"/>
    <xf numFmtId="3" fontId="1" fillId="4" borderId="10" xfId="0" applyNumberFormat="1" applyFont="1" applyFill="1" applyBorder="1"/>
    <xf numFmtId="0" fontId="1" fillId="4" borderId="12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10" xfId="0" applyFont="1" applyBorder="1"/>
    <xf numFmtId="0" fontId="3" fillId="0" borderId="12" xfId="0" applyFont="1" applyBorder="1"/>
    <xf numFmtId="0" fontId="3" fillId="0" borderId="9" xfId="0" applyFont="1" applyBorder="1"/>
    <xf numFmtId="3" fontId="6" fillId="0" borderId="6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1A60-B052-4649-894F-430783123FEA}">
  <dimension ref="A1:G30"/>
  <sheetViews>
    <sheetView tabSelected="1" workbookViewId="0">
      <selection activeCell="G22" sqref="G22"/>
    </sheetView>
  </sheetViews>
  <sheetFormatPr defaultRowHeight="14.5" x14ac:dyDescent="0.35"/>
  <cols>
    <col min="1" max="1" width="10.1796875" bestFit="1" customWidth="1"/>
    <col min="2" max="3" width="37" bestFit="1" customWidth="1"/>
    <col min="4" max="4" width="31" bestFit="1" customWidth="1"/>
    <col min="5" max="5" width="22.7265625" bestFit="1" customWidth="1"/>
    <col min="6" max="6" width="32.7265625" bestFit="1" customWidth="1"/>
    <col min="7" max="7" width="28.1796875" bestFit="1" customWidth="1"/>
  </cols>
  <sheetData>
    <row r="1" spans="1:7" ht="15.5" x14ac:dyDescent="0.35">
      <c r="A1" s="27" t="s">
        <v>0</v>
      </c>
      <c r="B1" s="30" t="s">
        <v>1</v>
      </c>
      <c r="C1" s="30"/>
      <c r="D1" s="30"/>
      <c r="E1" s="30"/>
      <c r="F1" s="30"/>
      <c r="G1" s="31"/>
    </row>
    <row r="2" spans="1:7" ht="15.5" x14ac:dyDescent="0.35">
      <c r="A2" s="28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ht="15.5" x14ac:dyDescent="0.35">
      <c r="A3" s="28"/>
      <c r="B3" s="3" t="s">
        <v>8</v>
      </c>
      <c r="C3" s="4"/>
      <c r="D3" s="4"/>
      <c r="E3" s="4"/>
      <c r="F3" s="4"/>
      <c r="G3" s="5"/>
    </row>
    <row r="4" spans="1:7" ht="15.5" x14ac:dyDescent="0.35">
      <c r="A4" s="28"/>
      <c r="B4" s="6"/>
      <c r="C4" s="3" t="s">
        <v>9</v>
      </c>
      <c r="D4" s="4"/>
      <c r="E4" s="4"/>
      <c r="F4" s="4"/>
      <c r="G4" s="5"/>
    </row>
    <row r="5" spans="1:7" ht="15.5" x14ac:dyDescent="0.35">
      <c r="A5" s="28"/>
      <c r="B5" s="6"/>
      <c r="C5" s="6"/>
      <c r="D5" s="3" t="s">
        <v>10</v>
      </c>
      <c r="E5" s="4"/>
      <c r="F5" s="4"/>
      <c r="G5" s="5"/>
    </row>
    <row r="6" spans="1:7" ht="15.5" x14ac:dyDescent="0.35">
      <c r="A6" s="28"/>
      <c r="B6" s="6"/>
      <c r="C6" s="6"/>
      <c r="D6" s="6"/>
      <c r="E6" s="3" t="s">
        <v>13</v>
      </c>
      <c r="F6" s="4"/>
      <c r="G6" s="5"/>
    </row>
    <row r="7" spans="1:7" ht="15.5" x14ac:dyDescent="0.35">
      <c r="A7" s="28"/>
      <c r="B7" s="6"/>
      <c r="C7" s="6"/>
      <c r="D7" s="6"/>
      <c r="E7" s="6"/>
      <c r="F7" s="3" t="s">
        <v>11</v>
      </c>
      <c r="G7" s="5"/>
    </row>
    <row r="8" spans="1:7" ht="15.5" x14ac:dyDescent="0.35">
      <c r="A8" s="29"/>
      <c r="B8" s="6"/>
      <c r="C8" s="6"/>
      <c r="D8" s="6"/>
      <c r="E8" s="6"/>
      <c r="F8" s="6"/>
      <c r="G8" s="7" t="s">
        <v>12</v>
      </c>
    </row>
    <row r="9" spans="1:7" ht="15.5" x14ac:dyDescent="0.35">
      <c r="A9" s="8" t="s">
        <v>14</v>
      </c>
      <c r="B9" s="4">
        <f>COUNTIF(B3:G8, "A")</f>
        <v>1</v>
      </c>
      <c r="C9" s="4">
        <f>COUNTIF(B3:G8, "B")</f>
        <v>1</v>
      </c>
      <c r="D9" s="4">
        <f>COUNTIF(B3:G8, "C")</f>
        <v>1</v>
      </c>
      <c r="E9" s="4">
        <f>COUNTIF(B3:G8, "D")</f>
        <v>1</v>
      </c>
      <c r="F9" s="4">
        <f>COUNTIF(B3:G8, "E")</f>
        <v>1</v>
      </c>
      <c r="G9" s="5">
        <f>COUNTIF(B3:G8, "F")</f>
        <v>1</v>
      </c>
    </row>
    <row r="10" spans="1:7" ht="16" thickBot="1" x14ac:dyDescent="0.4">
      <c r="A10" s="9" t="s">
        <v>15</v>
      </c>
      <c r="B10" s="10">
        <f>B9/21</f>
        <v>4.7619047619047616E-2</v>
      </c>
      <c r="C10" s="10">
        <f t="shared" ref="C10:G10" si="0">C9/21</f>
        <v>4.7619047619047616E-2</v>
      </c>
      <c r="D10" s="10">
        <f t="shared" si="0"/>
        <v>4.7619047619047616E-2</v>
      </c>
      <c r="E10" s="10">
        <f t="shared" si="0"/>
        <v>4.7619047619047616E-2</v>
      </c>
      <c r="F10" s="10">
        <f t="shared" si="0"/>
        <v>4.7619047619047616E-2</v>
      </c>
      <c r="G10" s="10">
        <f t="shared" si="0"/>
        <v>4.7619047619047616E-2</v>
      </c>
    </row>
    <row r="11" spans="1:7" ht="15" thickBot="1" x14ac:dyDescent="0.4"/>
    <row r="12" spans="1:7" ht="15.5" x14ac:dyDescent="0.35">
      <c r="B12" s="32" t="s">
        <v>16</v>
      </c>
      <c r="C12" s="30"/>
      <c r="D12" s="30"/>
      <c r="E12" s="30"/>
      <c r="F12" s="31"/>
    </row>
    <row r="13" spans="1:7" ht="18.5" x14ac:dyDescent="0.45">
      <c r="B13" s="11" t="s">
        <v>17</v>
      </c>
      <c r="C13" s="1" t="s">
        <v>18</v>
      </c>
      <c r="D13" s="1" t="s">
        <v>19</v>
      </c>
      <c r="E13" s="1" t="s">
        <v>20</v>
      </c>
      <c r="F13" s="2" t="s">
        <v>21</v>
      </c>
      <c r="G13" s="12"/>
    </row>
    <row r="14" spans="1:7" ht="18.5" x14ac:dyDescent="0.45">
      <c r="B14" s="8" t="s">
        <v>22</v>
      </c>
      <c r="C14" s="13"/>
      <c r="D14" s="14"/>
      <c r="E14" s="14"/>
      <c r="F14" s="26"/>
      <c r="G14" s="12"/>
    </row>
    <row r="15" spans="1:7" ht="18.5" x14ac:dyDescent="0.45">
      <c r="B15" s="8" t="s">
        <v>2</v>
      </c>
      <c r="C15" s="16"/>
      <c r="D15" s="14"/>
      <c r="E15" s="14"/>
      <c r="F15" s="15"/>
      <c r="G15" s="12"/>
    </row>
    <row r="16" spans="1:7" ht="18.5" x14ac:dyDescent="0.45">
      <c r="B16" s="8" t="s">
        <v>3</v>
      </c>
      <c r="C16" s="16"/>
      <c r="D16" s="14"/>
      <c r="E16" s="14"/>
      <c r="F16" s="15"/>
      <c r="G16" s="12"/>
    </row>
    <row r="17" spans="2:7" ht="18.5" x14ac:dyDescent="0.45">
      <c r="B17" s="8" t="s">
        <v>4</v>
      </c>
      <c r="C17" s="16"/>
      <c r="D17" s="14"/>
      <c r="E17" s="14"/>
      <c r="F17" s="15"/>
      <c r="G17" s="12"/>
    </row>
    <row r="18" spans="2:7" ht="18.5" x14ac:dyDescent="0.45">
      <c r="B18" s="8" t="s">
        <v>5</v>
      </c>
      <c r="C18" s="16"/>
      <c r="D18" s="14"/>
      <c r="E18" s="14"/>
      <c r="F18" s="15"/>
      <c r="G18" s="12"/>
    </row>
    <row r="19" spans="2:7" ht="18.5" x14ac:dyDescent="0.45">
      <c r="B19" s="8" t="s">
        <v>6</v>
      </c>
      <c r="C19" s="16"/>
      <c r="D19" s="14"/>
      <c r="E19" s="14"/>
      <c r="F19" s="15"/>
      <c r="G19" s="12"/>
    </row>
    <row r="20" spans="2:7" ht="18.5" x14ac:dyDescent="0.45">
      <c r="B20" s="8" t="s">
        <v>7</v>
      </c>
      <c r="C20" s="16"/>
      <c r="D20" s="14"/>
      <c r="E20" s="14"/>
      <c r="F20" s="15"/>
      <c r="G20" s="12"/>
    </row>
    <row r="21" spans="2:7" ht="19" thickBot="1" x14ac:dyDescent="0.5">
      <c r="B21" s="9" t="s">
        <v>15</v>
      </c>
      <c r="C21" s="17"/>
      <c r="D21" s="18"/>
      <c r="E21" s="18"/>
      <c r="F21" s="19"/>
      <c r="G21" s="12"/>
    </row>
    <row r="22" spans="2:7" ht="18.5" x14ac:dyDescent="0.45">
      <c r="F22" s="12"/>
      <c r="G22" s="12"/>
    </row>
    <row r="23" spans="2:7" ht="15" thickBot="1" x14ac:dyDescent="0.4"/>
    <row r="24" spans="2:7" ht="15.5" x14ac:dyDescent="0.35">
      <c r="C24" s="20"/>
      <c r="D24" s="21" t="s">
        <v>19</v>
      </c>
      <c r="E24" s="21" t="s">
        <v>20</v>
      </c>
      <c r="F24" s="22" t="s">
        <v>21</v>
      </c>
    </row>
    <row r="25" spans="2:7" ht="15.5" x14ac:dyDescent="0.35">
      <c r="C25" s="8" t="s">
        <v>2</v>
      </c>
      <c r="D25" s="4"/>
      <c r="E25" s="4"/>
      <c r="F25" s="5"/>
    </row>
    <row r="26" spans="2:7" ht="15.5" x14ac:dyDescent="0.35">
      <c r="C26" s="8" t="s">
        <v>3</v>
      </c>
      <c r="D26" s="4"/>
      <c r="E26" s="4"/>
      <c r="F26" s="5"/>
    </row>
    <row r="27" spans="2:7" ht="15.5" x14ac:dyDescent="0.35">
      <c r="C27" s="8" t="s">
        <v>4</v>
      </c>
      <c r="D27" s="4"/>
      <c r="E27" s="4"/>
      <c r="F27" s="5"/>
    </row>
    <row r="28" spans="2:7" ht="15.5" x14ac:dyDescent="0.35">
      <c r="C28" s="8" t="s">
        <v>5</v>
      </c>
      <c r="D28" s="4"/>
      <c r="E28" s="4"/>
      <c r="F28" s="5"/>
    </row>
    <row r="29" spans="2:7" ht="15.5" x14ac:dyDescent="0.35">
      <c r="C29" s="8" t="s">
        <v>6</v>
      </c>
      <c r="D29" s="4"/>
      <c r="E29" s="4"/>
      <c r="F29" s="5"/>
    </row>
    <row r="30" spans="2:7" ht="16" thickBot="1" x14ac:dyDescent="0.4">
      <c r="C30" s="25" t="s">
        <v>7</v>
      </c>
      <c r="D30" s="23"/>
      <c r="E30" s="23"/>
      <c r="F30" s="24"/>
    </row>
  </sheetData>
  <mergeCells count="3">
    <mergeCell ref="A1:A8"/>
    <mergeCell ref="B1:G1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جيداء تامر محمد محمد حلمي السقعان</dc:creator>
  <cp:keywords/>
  <dc:description/>
  <cp:lastModifiedBy>mohammed youssef</cp:lastModifiedBy>
  <cp:revision/>
  <dcterms:created xsi:type="dcterms:W3CDTF">2025-08-20T11:26:47Z</dcterms:created>
  <dcterms:modified xsi:type="dcterms:W3CDTF">2026-08-18T22:57:32Z</dcterms:modified>
  <cp:category/>
  <cp:contentStatus/>
</cp:coreProperties>
</file>